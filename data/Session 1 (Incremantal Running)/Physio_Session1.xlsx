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aume/Library/Mobile Documents/com~apple~CloudDocs/STAPS/MASTER-LMD/Master-2SIA/"/>
    </mc:Choice>
  </mc:AlternateContent>
  <xr:revisionPtr revIDLastSave="0" documentId="8_{E0BC7642-1456-2B47-83EB-4B57E4C92862}" xr6:coauthVersionLast="47" xr6:coauthVersionMax="47" xr10:uidLastSave="{00000000-0000-0000-0000-000000000000}"/>
  <bookViews>
    <workbookView xWindow="0" yWindow="720" windowWidth="29400" windowHeight="18400" xr2:uid="{6F2051AE-B007-B747-A68B-8EDF2AD38E22}"/>
  </bookViews>
  <sheets>
    <sheet name="1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F52" i="1"/>
  <c r="H53" i="1"/>
  <c r="H52" i="1"/>
  <c r="H51" i="1"/>
  <c r="H49" i="1"/>
  <c r="H50" i="1"/>
  <c r="G43" i="1"/>
  <c r="G42" i="1"/>
  <c r="G41" i="1"/>
  <c r="G40" i="1"/>
  <c r="G39" i="1"/>
  <c r="G38" i="1"/>
  <c r="G34" i="1"/>
  <c r="G29" i="1"/>
  <c r="G30" i="1"/>
  <c r="G31" i="1"/>
  <c r="G32" i="1"/>
  <c r="G33" i="1"/>
  <c r="G28" i="1"/>
  <c r="F51" i="1"/>
  <c r="F50" i="1"/>
  <c r="F49" i="1"/>
  <c r="F48" i="1"/>
  <c r="F47" i="1"/>
  <c r="C32" i="1"/>
  <c r="C31" i="1"/>
  <c r="C30" i="1"/>
  <c r="C29" i="1"/>
  <c r="C41" i="1"/>
  <c r="C40" i="1"/>
  <c r="C39" i="1"/>
</calcChain>
</file>

<file path=xl/sharedStrings.xml><?xml version="1.0" encoding="utf-8"?>
<sst xmlns="http://schemas.openxmlformats.org/spreadsheetml/2006/main" count="116" uniqueCount="41">
  <si>
    <t>Pallier 1</t>
  </si>
  <si>
    <t>Pallier 2</t>
  </si>
  <si>
    <t>Pallier 3</t>
  </si>
  <si>
    <t>Pallier 4</t>
  </si>
  <si>
    <t>Vitesse
(km/h)</t>
  </si>
  <si>
    <t>Puissance
(W)</t>
  </si>
  <si>
    <t>Remarques</t>
  </si>
  <si>
    <t>Fc
(bpm)</t>
  </si>
  <si>
    <t>[La]
(mmol/L)</t>
  </si>
  <si>
    <t>SmO2
(%)</t>
  </si>
  <si>
    <t>X</t>
  </si>
  <si>
    <t>/</t>
  </si>
  <si>
    <r>
      <rPr>
        <b/>
        <sz val="12"/>
        <color theme="1"/>
        <rFont val="Times New Roman"/>
        <family val="1"/>
      </rPr>
      <t>Malo</t>
    </r>
    <r>
      <rPr>
        <sz val="12"/>
        <color theme="1"/>
        <rFont val="Times New Roman"/>
        <family val="1"/>
      </rPr>
      <t xml:space="preserve"> - Course
(4' / pallier)</t>
    </r>
  </si>
  <si>
    <r>
      <rPr>
        <b/>
        <sz val="12"/>
        <color theme="1"/>
        <rFont val="Times New Roman"/>
        <family val="1"/>
      </rPr>
      <t>Yann</t>
    </r>
    <r>
      <rPr>
        <sz val="12"/>
        <color theme="1"/>
        <rFont val="Times New Roman"/>
        <family val="1"/>
      </rPr>
      <t xml:space="preserve"> - Course
(4' / pallier)</t>
    </r>
  </si>
  <si>
    <r>
      <rPr>
        <b/>
        <sz val="12"/>
        <color theme="1"/>
        <rFont val="Times New Roman"/>
        <family val="1"/>
      </rPr>
      <t>Joël</t>
    </r>
    <r>
      <rPr>
        <sz val="12"/>
        <color theme="1"/>
        <rFont val="Times New Roman"/>
        <family val="1"/>
      </rPr>
      <t xml:space="preserve"> - Vélo
(4' / pallier)</t>
    </r>
  </si>
  <si>
    <r>
      <rPr>
        <b/>
        <sz val="12"/>
        <color theme="1"/>
        <rFont val="Times New Roman"/>
        <family val="1"/>
      </rPr>
      <t>Alexis</t>
    </r>
    <r>
      <rPr>
        <sz val="12"/>
        <color theme="1"/>
        <rFont val="Times New Roman"/>
        <family val="1"/>
      </rPr>
      <t xml:space="preserve"> - Vélo
(4' / pallier)</t>
    </r>
  </si>
  <si>
    <r>
      <rPr>
        <b/>
        <sz val="12"/>
        <color theme="1"/>
        <rFont val="Times New Roman"/>
        <family val="1"/>
      </rPr>
      <t>Théo</t>
    </r>
    <r>
      <rPr>
        <sz val="12"/>
        <color theme="1"/>
        <rFont val="Times New Roman"/>
        <family val="1"/>
      </rPr>
      <t xml:space="preserve"> - Ski Erg
(4' / pallier)</t>
    </r>
  </si>
  <si>
    <t>[La]_triceps
(mmol/L)</t>
  </si>
  <si>
    <t>[La]_quadri
(mmol/L)</t>
  </si>
  <si>
    <t>Ajout [La] triceps_g</t>
  </si>
  <si>
    <t>Mesure [La] à environ 2' et 2'30</t>
  </si>
  <si>
    <t>Récup passive
(1')</t>
  </si>
  <si>
    <t>Récup passive
(10')</t>
  </si>
  <si>
    <t>Pallier 5</t>
  </si>
  <si>
    <t>Lactate 1,  [La] doigts_g, NIRS vaste_lat_d</t>
  </si>
  <si>
    <t>x</t>
  </si>
  <si>
    <t>Lactate 2,  [La] doigts_g, NIRS vaste_lat_d</t>
  </si>
  <si>
    <t>Pallier 6</t>
  </si>
  <si>
    <t>Mouvements pendant la récup</t>
  </si>
  <si>
    <t>Lactate 2, [La] quadri_d, NIRS triceps_d</t>
  </si>
  <si>
    <r>
      <t xml:space="preserve">Baseline
</t>
    </r>
    <r>
      <rPr>
        <sz val="12"/>
        <color theme="1"/>
        <rFont val="Times New Roman"/>
        <family val="1"/>
      </rPr>
      <t>assis</t>
    </r>
  </si>
  <si>
    <r>
      <rPr>
        <b/>
        <sz val="12"/>
        <color theme="1"/>
        <rFont val="Times New Roman"/>
        <family val="1"/>
      </rPr>
      <t>Baseline</t>
    </r>
    <r>
      <rPr>
        <sz val="12"/>
        <color theme="1"/>
        <rFont val="Times New Roman"/>
        <family val="1"/>
      </rPr>
      <t xml:space="preserve">
allongé</t>
    </r>
  </si>
  <si>
    <t>[La]_triceps
corrigée</t>
  </si>
  <si>
    <t>[La]
corrigée</t>
  </si>
  <si>
    <t>Pallier 1 = 70%PMA
Pallier 2 = 90%PMA
Pallier 3 = 100%PMA
Pallier 4 = 110%PMA</t>
  </si>
  <si>
    <t>Baseline SmO2 &lt; Récup ?
Valeurs Watt approximatives</t>
  </si>
  <si>
    <t>Lactate 2,  [La] doigts_d, NIRS vaste_lat_d</t>
  </si>
  <si>
    <t>[La]_quadri
corrigée</t>
  </si>
  <si>
    <t>Récup passive
(3')</t>
  </si>
  <si>
    <t>NIRS - [La] // Test incrémental</t>
  </si>
  <si>
    <t>Autres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</si>
</sst>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wrapText="1"/>
    </xf>
    <xf numFmtId="0" fontId="2" fillId="0" borderId="53" xfId="0" applyFont="1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58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F73A-ECC6-9344-8374-1B8B035DFCA8}">
  <dimension ref="A1:O56"/>
  <sheetViews>
    <sheetView tabSelected="1" workbookViewId="0">
      <selection activeCell="J43" sqref="J43"/>
    </sheetView>
  </sheetViews>
  <sheetFormatPr baseColWidth="10" defaultRowHeight="16" x14ac:dyDescent="0.2"/>
  <cols>
    <col min="1" max="1" width="23.6640625" style="7" customWidth="1"/>
    <col min="2" max="2" width="17.1640625" style="7" customWidth="1"/>
    <col min="3" max="3" width="13.6640625" style="7" customWidth="1"/>
    <col min="4" max="4" width="13.5" style="7" customWidth="1"/>
    <col min="5" max="6" width="11.83203125" style="7" customWidth="1"/>
    <col min="7" max="8" width="11.5" style="7" customWidth="1"/>
    <col min="9" max="9" width="13.1640625" style="7" customWidth="1"/>
    <col min="10" max="10" width="44.83203125" style="7" customWidth="1"/>
    <col min="11" max="11" width="27.1640625" style="7" customWidth="1"/>
    <col min="12" max="12" width="11.6640625" style="7" customWidth="1"/>
    <col min="13" max="13" width="15" style="7" customWidth="1"/>
    <col min="14" max="14" width="10.83203125" style="7"/>
    <col min="15" max="15" width="16.83203125" style="7" customWidth="1"/>
    <col min="16" max="16384" width="10.83203125" style="7"/>
  </cols>
  <sheetData>
    <row r="1" spans="1:14" ht="33" customHeight="1" thickBot="1" x14ac:dyDescent="0.25">
      <c r="A1" s="70">
        <v>46038</v>
      </c>
      <c r="C1" s="71" t="s">
        <v>39</v>
      </c>
      <c r="D1" s="72"/>
      <c r="E1" s="72"/>
      <c r="F1" s="72"/>
      <c r="G1" s="72"/>
      <c r="H1" s="72"/>
      <c r="I1" s="72"/>
      <c r="J1" s="72"/>
      <c r="K1" s="73"/>
    </row>
    <row r="2" spans="1:14" ht="17" thickBot="1" x14ac:dyDescent="0.25"/>
    <row r="3" spans="1:14" ht="44" customHeight="1" thickBot="1" x14ac:dyDescent="0.25">
      <c r="A3" s="1" t="s">
        <v>12</v>
      </c>
      <c r="B3" s="2" t="s">
        <v>4</v>
      </c>
      <c r="C3" s="3" t="s">
        <v>5</v>
      </c>
      <c r="D3" s="3" t="s">
        <v>9</v>
      </c>
      <c r="E3" s="87" t="s">
        <v>8</v>
      </c>
      <c r="F3" s="88"/>
      <c r="G3" s="88"/>
      <c r="H3" s="89"/>
      <c r="I3" s="3" t="s">
        <v>7</v>
      </c>
      <c r="J3" s="3" t="s">
        <v>6</v>
      </c>
      <c r="K3" s="6" t="s">
        <v>40</v>
      </c>
      <c r="M3" s="112"/>
      <c r="N3" s="112"/>
    </row>
    <row r="4" spans="1:14" ht="36" customHeight="1" thickBot="1" x14ac:dyDescent="0.25">
      <c r="A4" s="49" t="s">
        <v>31</v>
      </c>
      <c r="B4" s="51">
        <v>0</v>
      </c>
      <c r="C4" s="110" t="s">
        <v>11</v>
      </c>
      <c r="D4" s="53">
        <v>69</v>
      </c>
      <c r="E4" s="90">
        <v>1.1000000000000001</v>
      </c>
      <c r="F4" s="91"/>
      <c r="G4" s="91"/>
      <c r="H4" s="92"/>
      <c r="I4" s="53">
        <v>70</v>
      </c>
      <c r="J4" s="54" t="s">
        <v>24</v>
      </c>
      <c r="K4" s="106"/>
    </row>
    <row r="5" spans="1:14" ht="17" x14ac:dyDescent="0.2">
      <c r="A5" s="23" t="s">
        <v>0</v>
      </c>
      <c r="B5" s="24">
        <v>8</v>
      </c>
      <c r="C5" s="111"/>
      <c r="D5" s="25">
        <v>63</v>
      </c>
      <c r="E5" s="83">
        <v>2.2000000000000002</v>
      </c>
      <c r="F5" s="84"/>
      <c r="G5" s="84"/>
      <c r="H5" s="85"/>
      <c r="I5" s="25">
        <v>130</v>
      </c>
      <c r="J5" s="26"/>
      <c r="K5" s="107"/>
    </row>
    <row r="6" spans="1:14" ht="17" x14ac:dyDescent="0.2">
      <c r="A6" s="27" t="s">
        <v>1</v>
      </c>
      <c r="B6" s="28">
        <v>9.6</v>
      </c>
      <c r="C6" s="111"/>
      <c r="D6" s="29">
        <v>64</v>
      </c>
      <c r="E6" s="77">
        <v>1.5</v>
      </c>
      <c r="F6" s="78"/>
      <c r="G6" s="78"/>
      <c r="H6" s="79"/>
      <c r="I6" s="29">
        <v>144</v>
      </c>
      <c r="J6" s="30"/>
      <c r="K6" s="107"/>
    </row>
    <row r="7" spans="1:14" ht="17" x14ac:dyDescent="0.2">
      <c r="A7" s="8" t="s">
        <v>2</v>
      </c>
      <c r="B7" s="9">
        <v>11.2</v>
      </c>
      <c r="C7" s="111"/>
      <c r="D7" s="10">
        <v>63</v>
      </c>
      <c r="E7" s="74">
        <v>3.3</v>
      </c>
      <c r="F7" s="75"/>
      <c r="G7" s="75"/>
      <c r="H7" s="76"/>
      <c r="I7" s="10">
        <v>158</v>
      </c>
      <c r="J7" s="11"/>
      <c r="K7" s="107"/>
    </row>
    <row r="8" spans="1:14" ht="17" x14ac:dyDescent="0.2">
      <c r="A8" s="31" t="s">
        <v>3</v>
      </c>
      <c r="B8" s="32">
        <v>12.8</v>
      </c>
      <c r="C8" s="111"/>
      <c r="D8" s="33">
        <v>61</v>
      </c>
      <c r="E8" s="77">
        <v>2.9</v>
      </c>
      <c r="F8" s="78"/>
      <c r="G8" s="78"/>
      <c r="H8" s="79"/>
      <c r="I8" s="33">
        <v>172</v>
      </c>
      <c r="J8" s="34"/>
      <c r="K8" s="107"/>
    </row>
    <row r="9" spans="1:14" ht="17" x14ac:dyDescent="0.2">
      <c r="A9" s="17" t="s">
        <v>23</v>
      </c>
      <c r="B9" s="18">
        <v>14.4</v>
      </c>
      <c r="C9" s="111"/>
      <c r="D9" s="19">
        <v>62</v>
      </c>
      <c r="E9" s="74">
        <v>7.3</v>
      </c>
      <c r="F9" s="75"/>
      <c r="G9" s="75"/>
      <c r="H9" s="76"/>
      <c r="I9" s="19">
        <v>183</v>
      </c>
      <c r="J9" s="20"/>
      <c r="K9" s="107"/>
    </row>
    <row r="10" spans="1:14" ht="18" thickBot="1" x14ac:dyDescent="0.25">
      <c r="A10" s="31" t="s">
        <v>27</v>
      </c>
      <c r="B10" s="32">
        <v>16</v>
      </c>
      <c r="C10" s="111"/>
      <c r="D10" s="33">
        <v>58</v>
      </c>
      <c r="E10" s="80">
        <v>15.6</v>
      </c>
      <c r="F10" s="81"/>
      <c r="G10" s="81"/>
      <c r="H10" s="82"/>
      <c r="I10" s="33">
        <v>191</v>
      </c>
      <c r="J10" s="34"/>
      <c r="K10" s="107"/>
    </row>
    <row r="11" spans="1:14" ht="34" x14ac:dyDescent="0.2">
      <c r="A11" s="22" t="s">
        <v>38</v>
      </c>
      <c r="B11" s="64" t="s">
        <v>10</v>
      </c>
      <c r="C11" s="112"/>
      <c r="D11" s="46">
        <v>69</v>
      </c>
      <c r="E11" s="83">
        <v>14.8</v>
      </c>
      <c r="F11" s="84"/>
      <c r="G11" s="84"/>
      <c r="H11" s="85"/>
      <c r="I11" s="46">
        <v>117</v>
      </c>
      <c r="J11" s="47"/>
      <c r="K11" s="107"/>
    </row>
    <row r="12" spans="1:14" ht="35" thickBot="1" x14ac:dyDescent="0.25">
      <c r="A12" s="39" t="s">
        <v>22</v>
      </c>
      <c r="B12" s="48" t="s">
        <v>10</v>
      </c>
      <c r="C12" s="113"/>
      <c r="D12" s="21">
        <v>69</v>
      </c>
      <c r="E12" s="80">
        <v>10.199999999999999</v>
      </c>
      <c r="F12" s="81"/>
      <c r="G12" s="81"/>
      <c r="H12" s="82"/>
      <c r="I12" s="21">
        <v>110</v>
      </c>
      <c r="J12" s="40"/>
      <c r="K12" s="108"/>
    </row>
    <row r="13" spans="1:14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14" ht="17" thickBot="1" x14ac:dyDescent="0.25"/>
    <row r="15" spans="1:14" ht="35" thickBot="1" x14ac:dyDescent="0.25">
      <c r="A15" s="1" t="s">
        <v>13</v>
      </c>
      <c r="B15" s="2" t="s">
        <v>4</v>
      </c>
      <c r="C15" s="3" t="s">
        <v>5</v>
      </c>
      <c r="D15" s="3" t="s">
        <v>9</v>
      </c>
      <c r="E15" s="87" t="s">
        <v>8</v>
      </c>
      <c r="F15" s="88"/>
      <c r="G15" s="88"/>
      <c r="H15" s="89"/>
      <c r="I15" s="3" t="s">
        <v>7</v>
      </c>
      <c r="J15" s="6" t="s">
        <v>6</v>
      </c>
      <c r="K15" s="6" t="s">
        <v>40</v>
      </c>
      <c r="M15" s="112"/>
      <c r="N15" s="112"/>
    </row>
    <row r="16" spans="1:14" ht="35" thickBot="1" x14ac:dyDescent="0.25">
      <c r="A16" s="50" t="s">
        <v>30</v>
      </c>
      <c r="B16" s="51">
        <v>0</v>
      </c>
      <c r="C16" s="110" t="s">
        <v>11</v>
      </c>
      <c r="D16" s="53">
        <v>72</v>
      </c>
      <c r="E16" s="90">
        <v>1.6</v>
      </c>
      <c r="F16" s="91"/>
      <c r="G16" s="91"/>
      <c r="H16" s="92"/>
      <c r="I16" s="53">
        <v>101</v>
      </c>
      <c r="J16" s="54" t="s">
        <v>24</v>
      </c>
      <c r="K16" s="106"/>
    </row>
    <row r="17" spans="1:14" ht="17" x14ac:dyDescent="0.2">
      <c r="A17" s="23" t="s">
        <v>0</v>
      </c>
      <c r="B17" s="24">
        <v>8</v>
      </c>
      <c r="C17" s="111"/>
      <c r="D17" s="25">
        <v>71</v>
      </c>
      <c r="E17" s="83">
        <v>2.8</v>
      </c>
      <c r="F17" s="84"/>
      <c r="G17" s="84"/>
      <c r="H17" s="85"/>
      <c r="I17" s="25">
        <v>125</v>
      </c>
      <c r="J17" s="26"/>
      <c r="K17" s="107"/>
    </row>
    <row r="18" spans="1:14" ht="17" x14ac:dyDescent="0.2">
      <c r="A18" s="27" t="s">
        <v>1</v>
      </c>
      <c r="B18" s="28">
        <v>9.6</v>
      </c>
      <c r="C18" s="111"/>
      <c r="D18" s="29">
        <v>72</v>
      </c>
      <c r="E18" s="77">
        <v>2.2000000000000002</v>
      </c>
      <c r="F18" s="78"/>
      <c r="G18" s="78"/>
      <c r="H18" s="79"/>
      <c r="I18" s="29">
        <v>139</v>
      </c>
      <c r="J18" s="30"/>
      <c r="K18" s="107"/>
    </row>
    <row r="19" spans="1:14" ht="17" x14ac:dyDescent="0.2">
      <c r="A19" s="8" t="s">
        <v>2</v>
      </c>
      <c r="B19" s="9">
        <v>11.2</v>
      </c>
      <c r="C19" s="111"/>
      <c r="D19" s="10">
        <v>70</v>
      </c>
      <c r="E19" s="74">
        <v>3</v>
      </c>
      <c r="F19" s="75"/>
      <c r="G19" s="75"/>
      <c r="H19" s="76"/>
      <c r="I19" s="10">
        <v>147</v>
      </c>
      <c r="J19" s="11"/>
      <c r="K19" s="107"/>
    </row>
    <row r="20" spans="1:14" ht="17" x14ac:dyDescent="0.2">
      <c r="A20" s="31" t="s">
        <v>3</v>
      </c>
      <c r="B20" s="32">
        <v>12.8</v>
      </c>
      <c r="C20" s="111"/>
      <c r="D20" s="33">
        <v>72</v>
      </c>
      <c r="E20" s="77">
        <v>7.4</v>
      </c>
      <c r="F20" s="78"/>
      <c r="G20" s="78"/>
      <c r="H20" s="79"/>
      <c r="I20" s="33">
        <v>156</v>
      </c>
      <c r="J20" s="34"/>
      <c r="K20" s="107"/>
    </row>
    <row r="21" spans="1:14" ht="17" x14ac:dyDescent="0.2">
      <c r="A21" s="17" t="s">
        <v>23</v>
      </c>
      <c r="B21" s="18">
        <v>14.4</v>
      </c>
      <c r="C21" s="111"/>
      <c r="D21" s="19">
        <v>75</v>
      </c>
      <c r="E21" s="74">
        <v>16.5</v>
      </c>
      <c r="F21" s="75"/>
      <c r="G21" s="75"/>
      <c r="H21" s="76"/>
      <c r="I21" s="19">
        <v>160</v>
      </c>
      <c r="J21" s="20"/>
      <c r="K21" s="107"/>
    </row>
    <row r="22" spans="1:14" ht="18" thickBot="1" x14ac:dyDescent="0.25">
      <c r="A22" s="31" t="s">
        <v>27</v>
      </c>
      <c r="B22" s="32">
        <v>16</v>
      </c>
      <c r="C22" s="111"/>
      <c r="D22" s="33">
        <v>66</v>
      </c>
      <c r="E22" s="80">
        <v>10</v>
      </c>
      <c r="F22" s="81"/>
      <c r="G22" s="81"/>
      <c r="H22" s="82"/>
      <c r="I22" s="33">
        <v>164</v>
      </c>
      <c r="J22" s="34"/>
      <c r="K22" s="107"/>
    </row>
    <row r="23" spans="1:14" ht="34" x14ac:dyDescent="0.2">
      <c r="A23" s="22" t="s">
        <v>38</v>
      </c>
      <c r="B23" s="44" t="s">
        <v>10</v>
      </c>
      <c r="C23" s="112"/>
      <c r="D23" s="46">
        <v>77</v>
      </c>
      <c r="E23" s="83">
        <v>10.3</v>
      </c>
      <c r="F23" s="84"/>
      <c r="G23" s="84"/>
      <c r="H23" s="85"/>
      <c r="I23" s="46">
        <v>111</v>
      </c>
      <c r="J23" s="47"/>
      <c r="K23" s="107"/>
    </row>
    <row r="24" spans="1:14" ht="35" thickBot="1" x14ac:dyDescent="0.25">
      <c r="A24" s="39" t="s">
        <v>22</v>
      </c>
      <c r="B24" s="39" t="s">
        <v>10</v>
      </c>
      <c r="C24" s="113"/>
      <c r="D24" s="21">
        <v>74</v>
      </c>
      <c r="E24" s="80">
        <v>9.8000000000000007</v>
      </c>
      <c r="F24" s="81"/>
      <c r="G24" s="81"/>
      <c r="H24" s="82"/>
      <c r="I24" s="21">
        <v>105</v>
      </c>
      <c r="J24" s="40"/>
      <c r="K24" s="108"/>
    </row>
    <row r="26" spans="1:14" ht="17" thickBot="1" x14ac:dyDescent="0.25"/>
    <row r="27" spans="1:14" ht="35" thickBot="1" x14ac:dyDescent="0.25">
      <c r="A27" s="4" t="s">
        <v>14</v>
      </c>
      <c r="B27" s="2" t="s">
        <v>4</v>
      </c>
      <c r="C27" s="15" t="s">
        <v>5</v>
      </c>
      <c r="D27" s="15" t="s">
        <v>9</v>
      </c>
      <c r="E27" s="102" t="s">
        <v>8</v>
      </c>
      <c r="F27" s="103"/>
      <c r="G27" s="87" t="s">
        <v>33</v>
      </c>
      <c r="H27" s="89"/>
      <c r="I27" s="15" t="s">
        <v>7</v>
      </c>
      <c r="J27" s="16" t="s">
        <v>6</v>
      </c>
      <c r="K27" s="6" t="s">
        <v>40</v>
      </c>
      <c r="M27" s="112"/>
      <c r="N27" s="112"/>
    </row>
    <row r="28" spans="1:14" ht="35" thickBot="1" x14ac:dyDescent="0.25">
      <c r="A28" s="49" t="s">
        <v>31</v>
      </c>
      <c r="B28" s="96" t="s">
        <v>11</v>
      </c>
      <c r="C28" s="61">
        <v>280</v>
      </c>
      <c r="D28" s="52">
        <v>70</v>
      </c>
      <c r="E28" s="93">
        <v>2</v>
      </c>
      <c r="F28" s="93"/>
      <c r="G28" s="93">
        <f>E28-0.5</f>
        <v>1.5</v>
      </c>
      <c r="H28" s="93"/>
      <c r="I28" s="53">
        <v>66</v>
      </c>
      <c r="J28" s="54" t="s">
        <v>36</v>
      </c>
      <c r="K28" s="106" t="s">
        <v>34</v>
      </c>
    </row>
    <row r="29" spans="1:14" ht="17" x14ac:dyDescent="0.2">
      <c r="A29" s="23" t="s">
        <v>0</v>
      </c>
      <c r="B29" s="97"/>
      <c r="C29" s="25">
        <f>C28*0.7</f>
        <v>196</v>
      </c>
      <c r="D29" s="55">
        <v>58</v>
      </c>
      <c r="E29" s="94">
        <v>3.3</v>
      </c>
      <c r="F29" s="94"/>
      <c r="G29" s="94">
        <f t="shared" ref="G29:G33" si="0">E29-0.5</f>
        <v>2.8</v>
      </c>
      <c r="H29" s="94"/>
      <c r="I29" s="25">
        <v>144</v>
      </c>
      <c r="J29" s="26"/>
      <c r="K29" s="107"/>
    </row>
    <row r="30" spans="1:14" ht="17" x14ac:dyDescent="0.2">
      <c r="A30" s="27" t="s">
        <v>1</v>
      </c>
      <c r="B30" s="97"/>
      <c r="C30" s="29">
        <f>C28*0.9</f>
        <v>252</v>
      </c>
      <c r="D30" s="38">
        <v>55</v>
      </c>
      <c r="E30" s="95">
        <v>4.5</v>
      </c>
      <c r="F30" s="95"/>
      <c r="G30" s="95">
        <f t="shared" si="0"/>
        <v>4</v>
      </c>
      <c r="H30" s="95"/>
      <c r="I30" s="29">
        <v>166</v>
      </c>
      <c r="J30" s="30"/>
      <c r="K30" s="107"/>
    </row>
    <row r="31" spans="1:14" ht="17" x14ac:dyDescent="0.2">
      <c r="A31" s="8" t="s">
        <v>2</v>
      </c>
      <c r="B31" s="97"/>
      <c r="C31" s="10">
        <f>C28</f>
        <v>280</v>
      </c>
      <c r="D31" s="37">
        <v>55</v>
      </c>
      <c r="E31" s="104">
        <v>8.6</v>
      </c>
      <c r="F31" s="104"/>
      <c r="G31" s="104">
        <f t="shared" si="0"/>
        <v>8.1</v>
      </c>
      <c r="H31" s="104"/>
      <c r="I31" s="10">
        <v>178</v>
      </c>
      <c r="J31" s="11"/>
      <c r="K31" s="107"/>
    </row>
    <row r="32" spans="1:14" ht="18" thickBot="1" x14ac:dyDescent="0.25">
      <c r="A32" s="31" t="s">
        <v>3</v>
      </c>
      <c r="B32" s="97"/>
      <c r="C32" s="33">
        <f>C28*1.1</f>
        <v>308</v>
      </c>
      <c r="D32" s="42">
        <v>56</v>
      </c>
      <c r="E32" s="105">
        <v>15.9</v>
      </c>
      <c r="F32" s="105"/>
      <c r="G32" s="105">
        <f t="shared" si="0"/>
        <v>15.4</v>
      </c>
      <c r="H32" s="105"/>
      <c r="I32" s="33">
        <v>190</v>
      </c>
      <c r="J32" s="34"/>
      <c r="K32" s="107"/>
    </row>
    <row r="33" spans="1:15" ht="34" x14ac:dyDescent="0.2">
      <c r="A33" s="22" t="s">
        <v>38</v>
      </c>
      <c r="B33" s="99"/>
      <c r="C33" s="46" t="s">
        <v>10</v>
      </c>
      <c r="D33" s="45">
        <v>69</v>
      </c>
      <c r="E33" s="117">
        <v>14.8</v>
      </c>
      <c r="F33" s="117"/>
      <c r="G33" s="117">
        <f t="shared" si="0"/>
        <v>14.3</v>
      </c>
      <c r="H33" s="117"/>
      <c r="I33" s="46">
        <v>100</v>
      </c>
      <c r="J33" s="47"/>
      <c r="K33" s="107"/>
    </row>
    <row r="34" spans="1:15" ht="35" thickBot="1" x14ac:dyDescent="0.25">
      <c r="A34" s="39" t="s">
        <v>22</v>
      </c>
      <c r="B34" s="100"/>
      <c r="C34" s="21" t="s">
        <v>10</v>
      </c>
      <c r="D34" s="43">
        <v>67</v>
      </c>
      <c r="E34" s="109">
        <v>11.8</v>
      </c>
      <c r="F34" s="109"/>
      <c r="G34" s="109">
        <f>E34-0.5</f>
        <v>11.3</v>
      </c>
      <c r="H34" s="109"/>
      <c r="I34" s="21">
        <v>97</v>
      </c>
      <c r="J34" s="40"/>
      <c r="K34" s="108"/>
    </row>
    <row r="35" spans="1:15" x14ac:dyDescent="0.2">
      <c r="E35" s="101"/>
      <c r="F35" s="101"/>
      <c r="G35" s="101"/>
    </row>
    <row r="36" spans="1:15" ht="17" thickBot="1" x14ac:dyDescent="0.25"/>
    <row r="37" spans="1:15" ht="35" thickBot="1" x14ac:dyDescent="0.25">
      <c r="A37" s="63" t="s">
        <v>15</v>
      </c>
      <c r="B37" s="14" t="s">
        <v>4</v>
      </c>
      <c r="C37" s="15" t="s">
        <v>5</v>
      </c>
      <c r="D37" s="15" t="s">
        <v>9</v>
      </c>
      <c r="E37" s="102" t="s">
        <v>8</v>
      </c>
      <c r="F37" s="103"/>
      <c r="G37" s="87" t="s">
        <v>33</v>
      </c>
      <c r="H37" s="89"/>
      <c r="I37" s="15" t="s">
        <v>7</v>
      </c>
      <c r="J37" s="16" t="s">
        <v>6</v>
      </c>
      <c r="K37" s="6" t="s">
        <v>40</v>
      </c>
      <c r="M37" s="112"/>
      <c r="N37" s="112"/>
    </row>
    <row r="38" spans="1:15" ht="35" thickBot="1" x14ac:dyDescent="0.25">
      <c r="A38" s="57" t="s">
        <v>31</v>
      </c>
      <c r="B38" s="96" t="s">
        <v>11</v>
      </c>
      <c r="C38" s="61">
        <v>330</v>
      </c>
      <c r="D38" s="52">
        <v>67</v>
      </c>
      <c r="E38" s="93">
        <v>5.2</v>
      </c>
      <c r="F38" s="93"/>
      <c r="G38" s="93">
        <f>E38-0.5</f>
        <v>4.7</v>
      </c>
      <c r="H38" s="93"/>
      <c r="I38" s="53">
        <v>102</v>
      </c>
      <c r="J38" s="54" t="s">
        <v>26</v>
      </c>
      <c r="K38" s="106" t="s">
        <v>34</v>
      </c>
    </row>
    <row r="39" spans="1:15" ht="17" x14ac:dyDescent="0.2">
      <c r="A39" s="58" t="s">
        <v>0</v>
      </c>
      <c r="B39" s="97"/>
      <c r="C39" s="25">
        <f>C38*0.7</f>
        <v>230.99999999999997</v>
      </c>
      <c r="D39" s="55">
        <v>43</v>
      </c>
      <c r="E39" s="94">
        <v>6.7</v>
      </c>
      <c r="F39" s="94"/>
      <c r="G39" s="94">
        <f t="shared" ref="G39:G42" si="1">E39-0.5</f>
        <v>6.2</v>
      </c>
      <c r="H39" s="94"/>
      <c r="I39" s="25">
        <v>167</v>
      </c>
      <c r="J39" s="26"/>
      <c r="K39" s="107"/>
    </row>
    <row r="40" spans="1:15" ht="17" x14ac:dyDescent="0.2">
      <c r="A40" s="59" t="s">
        <v>1</v>
      </c>
      <c r="B40" s="97"/>
      <c r="C40" s="29">
        <f>C38*0.9</f>
        <v>297</v>
      </c>
      <c r="D40" s="38">
        <v>43</v>
      </c>
      <c r="E40" s="95">
        <v>9.4</v>
      </c>
      <c r="F40" s="95"/>
      <c r="G40" s="95">
        <f t="shared" si="1"/>
        <v>8.9</v>
      </c>
      <c r="H40" s="95"/>
      <c r="I40" s="29">
        <v>178</v>
      </c>
      <c r="J40" s="30"/>
      <c r="K40" s="107"/>
    </row>
    <row r="41" spans="1:15" ht="18" thickBot="1" x14ac:dyDescent="0.25">
      <c r="A41" s="60" t="s">
        <v>2</v>
      </c>
      <c r="B41" s="97"/>
      <c r="C41" s="10">
        <f>C38</f>
        <v>330</v>
      </c>
      <c r="D41" s="37">
        <v>43</v>
      </c>
      <c r="E41" s="104">
        <v>15.8</v>
      </c>
      <c r="F41" s="104"/>
      <c r="G41" s="104">
        <f t="shared" si="1"/>
        <v>15.3</v>
      </c>
      <c r="H41" s="104"/>
      <c r="I41" s="10">
        <v>187</v>
      </c>
      <c r="J41" s="11"/>
      <c r="K41" s="107"/>
    </row>
    <row r="42" spans="1:15" ht="34" x14ac:dyDescent="0.2">
      <c r="A42" s="67" t="s">
        <v>38</v>
      </c>
      <c r="B42" s="97"/>
      <c r="C42" s="35" t="s">
        <v>10</v>
      </c>
      <c r="D42" s="65">
        <v>85</v>
      </c>
      <c r="E42" s="118">
        <v>16.5</v>
      </c>
      <c r="F42" s="118"/>
      <c r="G42" s="118">
        <f t="shared" si="1"/>
        <v>16</v>
      </c>
      <c r="H42" s="118"/>
      <c r="I42" s="35">
        <v>133</v>
      </c>
      <c r="J42" s="66"/>
      <c r="K42" s="107"/>
    </row>
    <row r="43" spans="1:15" ht="35" thickBot="1" x14ac:dyDescent="0.25">
      <c r="A43" s="68" t="s">
        <v>22</v>
      </c>
      <c r="B43" s="98"/>
      <c r="C43" s="12" t="s">
        <v>10</v>
      </c>
      <c r="D43" s="41">
        <v>82</v>
      </c>
      <c r="E43" s="86">
        <v>14.8</v>
      </c>
      <c r="F43" s="86"/>
      <c r="G43" s="86">
        <f>E43-0.5</f>
        <v>14.3</v>
      </c>
      <c r="H43" s="86"/>
      <c r="I43" s="12">
        <v>117</v>
      </c>
      <c r="J43" s="69"/>
      <c r="K43" s="108"/>
    </row>
    <row r="44" spans="1:15" x14ac:dyDescent="0.2">
      <c r="A44" s="13"/>
      <c r="C44" s="13"/>
      <c r="D44" s="13"/>
      <c r="E44" s="13"/>
      <c r="F44" s="13"/>
      <c r="G44" s="13"/>
      <c r="H44" s="13"/>
      <c r="I44" s="13"/>
      <c r="J44" s="13"/>
      <c r="K44" s="56"/>
    </row>
    <row r="45" spans="1:15" ht="17" thickBot="1" x14ac:dyDescent="0.25"/>
    <row r="46" spans="1:15" ht="35" thickBot="1" x14ac:dyDescent="0.25">
      <c r="A46" s="5" t="s">
        <v>16</v>
      </c>
      <c r="B46" s="2" t="s">
        <v>4</v>
      </c>
      <c r="C46" s="3" t="s">
        <v>5</v>
      </c>
      <c r="D46" s="3" t="s">
        <v>9</v>
      </c>
      <c r="E46" s="3" t="s">
        <v>18</v>
      </c>
      <c r="F46" s="3" t="s">
        <v>37</v>
      </c>
      <c r="G46" s="3" t="s">
        <v>17</v>
      </c>
      <c r="H46" s="36" t="s">
        <v>32</v>
      </c>
      <c r="I46" s="36" t="s">
        <v>7</v>
      </c>
      <c r="J46" s="3" t="s">
        <v>6</v>
      </c>
      <c r="K46" s="6" t="s">
        <v>40</v>
      </c>
      <c r="M46" s="112"/>
      <c r="N46" s="112"/>
      <c r="O46" s="112"/>
    </row>
    <row r="47" spans="1:15" ht="35" thickBot="1" x14ac:dyDescent="0.25">
      <c r="A47" s="49" t="s">
        <v>31</v>
      </c>
      <c r="B47" s="119" t="s">
        <v>11</v>
      </c>
      <c r="C47" s="61" t="s">
        <v>11</v>
      </c>
      <c r="D47" s="53">
        <v>80</v>
      </c>
      <c r="E47" s="53">
        <v>1.6</v>
      </c>
      <c r="F47" s="53">
        <f t="shared" ref="F47:F53" si="2">E47-0.5</f>
        <v>1.1000000000000001</v>
      </c>
      <c r="G47" s="61" t="s">
        <v>11</v>
      </c>
      <c r="H47" s="61" t="s">
        <v>11</v>
      </c>
      <c r="I47" s="53">
        <v>76</v>
      </c>
      <c r="J47" s="54" t="s">
        <v>29</v>
      </c>
      <c r="K47" s="114" t="s">
        <v>35</v>
      </c>
    </row>
    <row r="48" spans="1:15" ht="17" x14ac:dyDescent="0.2">
      <c r="A48" s="23" t="s">
        <v>0</v>
      </c>
      <c r="B48" s="120"/>
      <c r="C48" s="25">
        <v>25</v>
      </c>
      <c r="D48" s="25">
        <v>75</v>
      </c>
      <c r="E48" s="25">
        <v>1.7</v>
      </c>
      <c r="F48" s="25">
        <f t="shared" si="2"/>
        <v>1.2</v>
      </c>
      <c r="G48" s="25" t="s">
        <v>11</v>
      </c>
      <c r="H48" s="25" t="s">
        <v>11</v>
      </c>
      <c r="I48" s="25">
        <v>135</v>
      </c>
      <c r="J48" s="26"/>
      <c r="K48" s="115"/>
    </row>
    <row r="49" spans="1:11" ht="17" x14ac:dyDescent="0.2">
      <c r="A49" s="27" t="s">
        <v>1</v>
      </c>
      <c r="B49" s="120"/>
      <c r="C49" s="29">
        <v>30</v>
      </c>
      <c r="D49" s="29">
        <v>78</v>
      </c>
      <c r="E49" s="29">
        <v>2.5</v>
      </c>
      <c r="F49" s="29">
        <f t="shared" si="2"/>
        <v>2</v>
      </c>
      <c r="G49" s="29">
        <v>2.8</v>
      </c>
      <c r="H49" s="29">
        <f>G49-0.5</f>
        <v>2.2999999999999998</v>
      </c>
      <c r="I49" s="29">
        <v>158</v>
      </c>
      <c r="J49" s="30" t="s">
        <v>19</v>
      </c>
      <c r="K49" s="115"/>
    </row>
    <row r="50" spans="1:11" ht="17" x14ac:dyDescent="0.2">
      <c r="A50" s="8" t="s">
        <v>2</v>
      </c>
      <c r="B50" s="120"/>
      <c r="C50" s="10">
        <v>33</v>
      </c>
      <c r="D50" s="10">
        <v>80</v>
      </c>
      <c r="E50" s="10">
        <v>2.9</v>
      </c>
      <c r="F50" s="10">
        <f t="shared" si="2"/>
        <v>2.4</v>
      </c>
      <c r="G50" s="10">
        <v>4.5</v>
      </c>
      <c r="H50" s="10">
        <f>G50-0.5</f>
        <v>4</v>
      </c>
      <c r="I50" s="10">
        <v>166</v>
      </c>
      <c r="J50" s="11"/>
      <c r="K50" s="115"/>
    </row>
    <row r="51" spans="1:11" ht="18" thickBot="1" x14ac:dyDescent="0.25">
      <c r="A51" s="31" t="s">
        <v>3</v>
      </c>
      <c r="B51" s="120"/>
      <c r="C51" s="33">
        <v>30</v>
      </c>
      <c r="D51" s="33">
        <v>82</v>
      </c>
      <c r="E51" s="33">
        <v>3.6</v>
      </c>
      <c r="F51" s="33">
        <f t="shared" si="2"/>
        <v>3.1</v>
      </c>
      <c r="G51" s="33">
        <v>4.7</v>
      </c>
      <c r="H51" s="33">
        <f>G51-0.5</f>
        <v>4.2</v>
      </c>
      <c r="I51" s="33">
        <v>175</v>
      </c>
      <c r="J51" s="34"/>
      <c r="K51" s="115"/>
    </row>
    <row r="52" spans="1:11" ht="34" x14ac:dyDescent="0.2">
      <c r="A52" s="22" t="s">
        <v>21</v>
      </c>
      <c r="B52" s="121"/>
      <c r="C52" s="46" t="s">
        <v>10</v>
      </c>
      <c r="D52" s="46">
        <v>88</v>
      </c>
      <c r="E52" s="46">
        <v>3.8</v>
      </c>
      <c r="F52" s="46">
        <f t="shared" si="2"/>
        <v>3.3</v>
      </c>
      <c r="G52" s="46">
        <v>4</v>
      </c>
      <c r="H52" s="46">
        <f>G52-0.5</f>
        <v>3.5</v>
      </c>
      <c r="I52" s="46">
        <v>101</v>
      </c>
      <c r="J52" s="62" t="s">
        <v>20</v>
      </c>
      <c r="K52" s="115"/>
    </row>
    <row r="53" spans="1:11" ht="35" thickBot="1" x14ac:dyDescent="0.25">
      <c r="A53" s="39" t="s">
        <v>22</v>
      </c>
      <c r="B53" s="122"/>
      <c r="C53" s="21" t="s">
        <v>10</v>
      </c>
      <c r="D53" s="21">
        <v>100</v>
      </c>
      <c r="E53" s="21">
        <v>3.3</v>
      </c>
      <c r="F53" s="21">
        <f t="shared" si="2"/>
        <v>2.8</v>
      </c>
      <c r="G53" s="21">
        <v>4.3</v>
      </c>
      <c r="H53" s="21">
        <f>G53-0.5</f>
        <v>3.8</v>
      </c>
      <c r="I53" s="21">
        <v>90</v>
      </c>
      <c r="J53" s="40" t="s">
        <v>28</v>
      </c>
      <c r="K53" s="116"/>
    </row>
    <row r="56" spans="1:11" ht="17" x14ac:dyDescent="0.2">
      <c r="D56" s="7" t="s">
        <v>25</v>
      </c>
    </row>
  </sheetData>
  <mergeCells count="67">
    <mergeCell ref="B47:B53"/>
    <mergeCell ref="M27:N27"/>
    <mergeCell ref="M15:N15"/>
    <mergeCell ref="M3:N3"/>
    <mergeCell ref="G32:H32"/>
    <mergeCell ref="G33:H33"/>
    <mergeCell ref="E16:H16"/>
    <mergeCell ref="E15:H15"/>
    <mergeCell ref="E17:H17"/>
    <mergeCell ref="E18:H18"/>
    <mergeCell ref="K47:K53"/>
    <mergeCell ref="M46:O46"/>
    <mergeCell ref="K28:K34"/>
    <mergeCell ref="G29:H29"/>
    <mergeCell ref="G30:H30"/>
    <mergeCell ref="G31:H31"/>
    <mergeCell ref="M37:N37"/>
    <mergeCell ref="G34:H34"/>
    <mergeCell ref="G42:H42"/>
    <mergeCell ref="G27:H27"/>
    <mergeCell ref="K38:K43"/>
    <mergeCell ref="E41:F41"/>
    <mergeCell ref="G41:H41"/>
    <mergeCell ref="E34:F34"/>
    <mergeCell ref="G28:H28"/>
    <mergeCell ref="E37:F37"/>
    <mergeCell ref="E42:F42"/>
    <mergeCell ref="E33:F33"/>
    <mergeCell ref="E27:F27"/>
    <mergeCell ref="E28:F28"/>
    <mergeCell ref="E29:F29"/>
    <mergeCell ref="E30:F30"/>
    <mergeCell ref="E31:F31"/>
    <mergeCell ref="G39:H39"/>
    <mergeCell ref="E40:F40"/>
    <mergeCell ref="G40:H40"/>
    <mergeCell ref="B38:B43"/>
    <mergeCell ref="B28:B34"/>
    <mergeCell ref="E35:G35"/>
    <mergeCell ref="E32:F32"/>
    <mergeCell ref="E23:H23"/>
    <mergeCell ref="E24:H24"/>
    <mergeCell ref="E43:F43"/>
    <mergeCell ref="G43:H43"/>
    <mergeCell ref="E3:H3"/>
    <mergeCell ref="E4:H4"/>
    <mergeCell ref="E5:H5"/>
    <mergeCell ref="E6:H6"/>
    <mergeCell ref="E7:H7"/>
    <mergeCell ref="E8:H8"/>
    <mergeCell ref="E9:H9"/>
    <mergeCell ref="E11:H11"/>
    <mergeCell ref="G37:H37"/>
    <mergeCell ref="E38:F38"/>
    <mergeCell ref="G38:H38"/>
    <mergeCell ref="E39:F39"/>
    <mergeCell ref="C1:K1"/>
    <mergeCell ref="E19:H19"/>
    <mergeCell ref="E20:H20"/>
    <mergeCell ref="E21:H21"/>
    <mergeCell ref="E22:H22"/>
    <mergeCell ref="C4:C12"/>
    <mergeCell ref="K4:K12"/>
    <mergeCell ref="C16:C24"/>
    <mergeCell ref="K16:K24"/>
    <mergeCell ref="E10:H10"/>
    <mergeCell ref="E12:H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Delphine Hund</dc:creator>
  <cp:lastModifiedBy>Guillaume Py</cp:lastModifiedBy>
  <dcterms:created xsi:type="dcterms:W3CDTF">2026-01-16T09:15:42Z</dcterms:created>
  <dcterms:modified xsi:type="dcterms:W3CDTF">2026-01-16T13:55:40Z</dcterms:modified>
</cp:coreProperties>
</file>